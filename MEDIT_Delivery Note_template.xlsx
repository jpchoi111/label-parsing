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ueun_workspace\label-parsing\"/>
    </mc:Choice>
  </mc:AlternateContent>
  <xr:revisionPtr revIDLastSave="0" documentId="13_ncr:1_{A7EDBF90-6978-42A0-8D3C-31C7F32A0D9F}" xr6:coauthVersionLast="47" xr6:coauthVersionMax="47" xr10:uidLastSave="{00000000-0000-0000-0000-000000000000}"/>
  <bookViews>
    <workbookView xWindow="-24780" yWindow="750" windowWidth="24000" windowHeight="14925" xr2:uid="{24D67D64-FC68-4323-89FF-3AA92157D581}"/>
  </bookViews>
  <sheets>
    <sheet name="Sheet1" sheetId="1" r:id="rId1"/>
    <sheet name="Sheet2" sheetId="2" r:id="rId2"/>
  </sheets>
  <definedNames>
    <definedName name="_xlnm.Print_Area" localSheetId="0">Sheet1!$A$1:$E$29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G17" i="1"/>
  <c r="G16" i="1"/>
  <c r="G15" i="1"/>
  <c r="G14" i="1"/>
  <c r="G20" i="1"/>
  <c r="G19" i="1"/>
  <c r="G18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A12" i="1"/>
  <c r="H14" i="1" l="1"/>
  <c r="K14" i="1" s="1"/>
  <c r="L1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<sst xmlns="http://schemas.openxmlformats.org/spreadsheetml/2006/main" count="69" uniqueCount="65">
  <si>
    <t>ACI_form_202502-04DN</t>
    <phoneticPr fontId="1" type="noConversion"/>
  </si>
  <si>
    <t>2025.01.01</t>
    <phoneticPr fontId="1" type="noConversion"/>
  </si>
  <si>
    <r>
      <rPr>
        <sz val="10"/>
        <color theme="1"/>
        <rFont val="Malgun Gothic"/>
        <family val="2"/>
        <charset val="129"/>
      </rPr>
      <t>문서번호</t>
    </r>
    <phoneticPr fontId="1" type="noConversion"/>
  </si>
  <si>
    <r>
      <rPr>
        <sz val="10"/>
        <color theme="1"/>
        <rFont val="Malgun Gothic"/>
        <family val="2"/>
        <charset val="129"/>
      </rPr>
      <t>문서등급</t>
    </r>
    <phoneticPr fontId="1" type="noConversion"/>
  </si>
  <si>
    <r>
      <rPr>
        <sz val="10"/>
        <color theme="1"/>
        <rFont val="Malgun Gothic"/>
        <family val="2"/>
        <charset val="129"/>
      </rPr>
      <t>대외비</t>
    </r>
    <r>
      <rPr>
        <sz val="10"/>
        <color theme="1"/>
        <rFont val="Calibri Light"/>
        <family val="2"/>
      </rPr>
      <t xml:space="preserve"> </t>
    </r>
    <r>
      <rPr>
        <sz val="10"/>
        <color rgb="FFFF0000"/>
        <rFont val="Calibri Light"/>
        <family val="2"/>
      </rPr>
      <t>Confidential</t>
    </r>
    <phoneticPr fontId="1" type="noConversion"/>
  </si>
  <si>
    <t>신태섭</t>
    <phoneticPr fontId="1" type="noConversion"/>
  </si>
  <si>
    <t>TRKNO</t>
  </si>
  <si>
    <t>ORDERNO</t>
  </si>
  <si>
    <t>SRL_LOT</t>
  </si>
  <si>
    <t>NAME :</t>
    <phoneticPr fontId="1" type="noConversion"/>
  </si>
  <si>
    <t>KENNZEICHEN :</t>
    <phoneticPr fontId="1" type="noConversion"/>
  </si>
  <si>
    <t>DATEN :</t>
    <phoneticPr fontId="1" type="noConversion"/>
  </si>
  <si>
    <t>Unterschrift :</t>
    <phoneticPr fontId="1" type="noConversion"/>
  </si>
  <si>
    <t>출고관리자</t>
    <phoneticPr fontId="1" type="noConversion"/>
  </si>
  <si>
    <t>문서관리자</t>
    <phoneticPr fontId="1" type="noConversion"/>
  </si>
  <si>
    <t>개정일자</t>
    <phoneticPr fontId="1" type="noConversion"/>
  </si>
  <si>
    <t>최주은</t>
    <phoneticPr fontId="1" type="noConversion"/>
  </si>
  <si>
    <t>3A0113417C0</t>
  </si>
  <si>
    <t>Assy Packing Medium Tip MO1</t>
  </si>
  <si>
    <t>3A0113419C0</t>
  </si>
  <si>
    <t>Assy Packing Small Tip MO1</t>
  </si>
  <si>
    <t>3A0112485C0</t>
  </si>
  <si>
    <t>Assy Tip Small Packing IO3</t>
  </si>
  <si>
    <t>3A0112340C0</t>
  </si>
  <si>
    <t>Assy Tip New Packing IO3</t>
  </si>
  <si>
    <t>6A0111588C0</t>
  </si>
  <si>
    <t>Assy Tip New Packing IO1</t>
  </si>
  <si>
    <t>5M0111852W0</t>
  </si>
  <si>
    <t>Cover Tip IO3</t>
  </si>
  <si>
    <t>Product Name</t>
  </si>
  <si>
    <t>ACI Product Code</t>
  </si>
  <si>
    <t>Vendor Product Code</t>
  </si>
  <si>
    <t>AEZ009</t>
  </si>
  <si>
    <t>AEZ072</t>
  </si>
  <si>
    <t>Assy Tip Packing MO1</t>
  </si>
  <si>
    <t>AEZ074</t>
  </si>
  <si>
    <t>3A0113147C0</t>
  </si>
  <si>
    <t>Assy Packing Large Tip MO1</t>
  </si>
  <si>
    <t>AEZ075</t>
  </si>
  <si>
    <t>3A0113418C0</t>
  </si>
  <si>
    <t>AEZ076</t>
  </si>
  <si>
    <t>AEZ169</t>
  </si>
  <si>
    <t>AEZ170</t>
  </si>
  <si>
    <t>AEZ180</t>
  </si>
  <si>
    <t>Cover Tip IO5</t>
  </si>
  <si>
    <t>AEZ184</t>
  </si>
  <si>
    <t>5M0112350E0</t>
  </si>
  <si>
    <t>Assy Packing Cover Tip MO1</t>
  </si>
  <si>
    <t>AFB125</t>
  </si>
  <si>
    <t>3A0113412C0</t>
  </si>
  <si>
    <t>Assy Packing Calibration MO1</t>
  </si>
  <si>
    <t>AFA428</t>
  </si>
  <si>
    <t>3A0113411C0</t>
  </si>
  <si>
    <t>Assy Calibration IO3</t>
  </si>
  <si>
    <t>AEZ175</t>
  </si>
  <si>
    <t>3A0111853C0</t>
  </si>
  <si>
    <t>Tip check</t>
  </si>
  <si>
    <t>Sum</t>
  </si>
  <si>
    <t>box</t>
  </si>
  <si>
    <t>carton</t>
  </si>
  <si>
    <t>total</t>
  </si>
  <si>
    <t>price</t>
  </si>
  <si>
    <t>Pallets :  1 stk</t>
  </si>
  <si>
    <t>CUSITEMCODE</t>
  </si>
  <si>
    <t>ITEMDETAIL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</si>
</sst>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8"/>
      <color theme="1"/>
      <name val="Calibri Light"/>
      <family val="2"/>
      <charset val="129"/>
    </font>
    <font>
      <sz val="8"/>
      <name val="Calibri Light"/>
      <family val="2"/>
      <charset val="129"/>
    </font>
    <font>
      <sz val="10"/>
      <color theme="1"/>
      <name val="Malgun Gothic"/>
      <family val="2"/>
      <charset val="129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b/>
      <sz val="10"/>
      <color theme="1"/>
      <name val="Malgun Gothic"/>
      <family val="2"/>
      <charset val="129"/>
    </font>
    <font>
      <b/>
      <sz val="10"/>
      <color theme="1"/>
      <name val="Calibri Light"/>
      <family val="2"/>
    </font>
    <font>
      <b/>
      <sz val="15"/>
      <color rgb="FFFF0000"/>
      <name val="Calibri Light"/>
      <family val="2"/>
    </font>
    <font>
      <b/>
      <sz val="12"/>
      <color theme="1"/>
      <name val="Calibri Light"/>
      <family val="2"/>
    </font>
    <font>
      <sz val="11"/>
      <color indexed="8"/>
      <name val="Calibri"/>
      <family val="2"/>
    </font>
    <font>
      <sz val="10"/>
      <color theme="1"/>
      <name val="맑은 고딕"/>
      <family val="2"/>
      <charset val="129"/>
    </font>
    <font>
      <b/>
      <sz val="11"/>
      <name val="Calibri Light"/>
      <family val="2"/>
    </font>
    <font>
      <b/>
      <sz val="11"/>
      <color theme="1"/>
      <name val="Calibri Light"/>
      <family val="2"/>
    </font>
    <font>
      <sz val="10"/>
      <color theme="1"/>
      <name val="Calibri Light"/>
      <family val="2"/>
      <charset val="129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Fill="0" applyProtection="0"/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3" fillId="0" borderId="5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표준" xfId="0" builtinId="0"/>
    <cellStyle name="표준 2" xfId="1" xr:uid="{25D401DA-8BB2-40F8-8E33-14242A7CA2E2}"/>
  </cellStyles>
  <dxfs count="5">
    <dxf>
      <font>
        <strike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7BBAB-FBD7-4B66-93F7-7E7F0BE2548C}" name="Table1" displayName="Table1" ref="A1:C13" totalsRowShown="0" headerRowDxfId="4" dataDxfId="3">
  <autoFilter ref="A1:C13" xr:uid="{CE17BBAB-FBD7-4B66-93F7-7E7F0BE2548C}"/>
  <tableColumns count="3">
    <tableColumn id="1" xr3:uid="{80810728-846D-4FCB-9722-BE30DC3EFA2B}" name="Product Name" dataDxfId="2"/>
    <tableColumn id="2" xr3:uid="{40F17237-0AEA-452B-9BA3-AEF064A895A4}" name="ACI Product Code" dataDxfId="1"/>
    <tableColumn id="3" xr3:uid="{BB1B1140-3C66-40DB-9D3C-D3FE5532CB4B}" name="Vendor Product Co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ACAF-87EC-44FD-AA1A-A45AFFC8D3D9}">
  <dimension ref="A1:L182"/>
  <sheetViews>
    <sheetView tabSelected="1" view="pageBreakPreview" zoomScaleNormal="100" zoomScaleSheetLayoutView="100" workbookViewId="0">
      <selection activeCell="D7" sqref="D7:D9"/>
    </sheetView>
  </sheetViews>
  <sheetFormatPr defaultColWidth="9.33203125" defaultRowHeight="12.75"/>
  <cols>
    <col min="1" max="1" width="30.6640625" style="1" customWidth="1"/>
    <col min="2" max="2" width="16.83203125" style="1" customWidth="1"/>
    <col min="3" max="3" width="22.33203125" style="1" bestFit="1" customWidth="1"/>
    <col min="4" max="4" width="35.33203125" style="1" customWidth="1"/>
    <col min="5" max="5" width="31.33203125" style="1" customWidth="1"/>
    <col min="6" max="6" width="10.1640625" style="1" customWidth="1"/>
    <col min="7" max="7" width="9.1640625" style="3" customWidth="1"/>
    <col min="8" max="8" width="7.5" style="3" customWidth="1"/>
    <col min="9" max="11" width="9.33203125" style="3"/>
    <col min="12" max="12" width="11" style="3" customWidth="1"/>
    <col min="13" max="16384" width="9.33203125" style="1"/>
  </cols>
  <sheetData>
    <row r="1" spans="1:12" ht="17.25" customHeight="1">
      <c r="D1" s="2" t="s">
        <v>2</v>
      </c>
      <c r="E1" s="2" t="s">
        <v>0</v>
      </c>
    </row>
    <row r="2" spans="1:12" ht="17.25" customHeight="1">
      <c r="D2" s="12" t="s">
        <v>15</v>
      </c>
      <c r="E2" s="2" t="s">
        <v>1</v>
      </c>
    </row>
    <row r="3" spans="1:12" ht="17.25" customHeight="1">
      <c r="D3" s="2" t="s">
        <v>3</v>
      </c>
      <c r="E3" s="2" t="s">
        <v>4</v>
      </c>
    </row>
    <row r="4" spans="1:12" ht="17.25" customHeight="1">
      <c r="A4" s="24" t="e" vm="1">
        <v>#VALUE!</v>
      </c>
      <c r="B4" s="24"/>
      <c r="C4" s="24"/>
    </row>
    <row r="5" spans="1:12" ht="36.75" customHeight="1">
      <c r="A5" s="24"/>
      <c r="B5" s="24"/>
      <c r="C5" s="24"/>
      <c r="D5" s="4" t="s">
        <v>14</v>
      </c>
      <c r="E5" s="4" t="s">
        <v>13</v>
      </c>
    </row>
    <row r="6" spans="1:12" ht="13.5">
      <c r="A6" s="24"/>
      <c r="B6" s="24"/>
      <c r="C6" s="24"/>
      <c r="D6" s="5" t="s">
        <v>5</v>
      </c>
      <c r="E6" s="5" t="s">
        <v>16</v>
      </c>
    </row>
    <row r="7" spans="1:12" ht="17.25" customHeight="1">
      <c r="A7" s="24"/>
      <c r="B7" s="24"/>
      <c r="C7" s="24"/>
      <c r="D7" s="21"/>
      <c r="E7" s="22"/>
    </row>
    <row r="8" spans="1:12" ht="17.25" customHeight="1">
      <c r="A8" s="24"/>
      <c r="B8" s="24"/>
      <c r="C8" s="24"/>
      <c r="D8" s="22"/>
      <c r="E8" s="22"/>
    </row>
    <row r="9" spans="1:12" ht="28.5" customHeight="1">
      <c r="A9" s="24"/>
      <c r="B9" s="24"/>
      <c r="C9" s="24"/>
      <c r="D9" s="23"/>
      <c r="E9" s="23"/>
    </row>
    <row r="10" spans="1:12">
      <c r="C10" s="3"/>
      <c r="D10" s="3"/>
      <c r="E10" s="3"/>
    </row>
    <row r="11" spans="1:12" s="7" customFormat="1" ht="19.5">
      <c r="A11" s="9" t="str">
        <f xml:space="preserve"> "CARTON : " &amp; J14 &amp; " stk"</f>
        <v>CARTON : 31 stk</v>
      </c>
      <c r="B11" s="25" t="s">
        <v>62</v>
      </c>
      <c r="C11" s="25"/>
      <c r="D11" s="9"/>
    </row>
    <row r="12" spans="1:12">
      <c r="A12" s="8">
        <f ca="1">TODAY()</f>
        <v>46185</v>
      </c>
    </row>
    <row r="13" spans="1:12" ht="15.75" customHeight="1">
      <c r="A13" s="13" t="s">
        <v>6</v>
      </c>
      <c r="B13" s="14" t="s">
        <v>7</v>
      </c>
      <c r="C13" s="14" t="s">
        <v>63</v>
      </c>
      <c r="D13" s="14" t="s">
        <v>64</v>
      </c>
      <c r="E13" s="15" t="s">
        <v>8</v>
      </c>
      <c r="G13" s="19" t="s">
        <v>56</v>
      </c>
      <c r="H13" s="19" t="s">
        <v>57</v>
      </c>
      <c r="I13" s="19" t="s">
        <v>58</v>
      </c>
      <c r="J13" s="20" t="s">
        <v>59</v>
      </c>
      <c r="K13" s="19" t="s">
        <v>60</v>
      </c>
      <c r="L13" s="19" t="s">
        <v>61</v>
      </c>
    </row>
    <row r="14" spans="1:12" ht="12" customHeight="1">
      <c r="A14" s="16"/>
      <c r="B14" s="16"/>
      <c r="C14" s="16"/>
      <c r="D14" s="16"/>
      <c r="E14" s="16"/>
      <c r="G14" s="3">
        <f>IF(COUNTIF(Sheet2!C:C,C14)&gt;0,1,0)</f>
        <v>0</v>
      </c>
      <c r="H14" s="19">
        <f>SUM(G:G)</f>
        <v>0</v>
      </c>
      <c r="I14" s="19">
        <v>8</v>
      </c>
      <c r="J14" s="20">
        <v>31</v>
      </c>
      <c r="K14" s="19">
        <f>H14+I14+J14</f>
        <v>39</v>
      </c>
      <c r="L14" s="19">
        <f>K14 * 0.8</f>
        <v>31.200000000000003</v>
      </c>
    </row>
    <row r="15" spans="1:12">
      <c r="G15" s="3">
        <f>IF(COUNTIF(Sheet2!C:C,C15)&gt;0,1,0)</f>
        <v>0</v>
      </c>
    </row>
    <row r="16" spans="1:12">
      <c r="G16" s="3">
        <f>IF(COUNTIF(Sheet2!C:C,C16)&gt;0,1,0)</f>
        <v>0</v>
      </c>
    </row>
    <row r="17" spans="1:7">
      <c r="G17" s="3">
        <f>IF(COUNTIF(Sheet2!C:C,C17)&gt;0,1,0)</f>
        <v>0</v>
      </c>
    </row>
    <row r="18" spans="1:7" ht="11.25" customHeight="1">
      <c r="G18" s="3">
        <f>IF(COUNTIF(Sheet2!C:C,C18)&gt;0,1,0)</f>
        <v>0</v>
      </c>
    </row>
    <row r="19" spans="1:7" ht="11.25" customHeight="1">
      <c r="G19" s="3">
        <f>IF(COUNTIF(Sheet2!C:C,C19)&gt;0,1,0)</f>
        <v>0</v>
      </c>
    </row>
    <row r="20" spans="1:7" ht="11.25" customHeight="1">
      <c r="G20" s="3">
        <f>IF(COUNTIF(Sheet2!C:C,C20)&gt;0,1,0)</f>
        <v>0</v>
      </c>
    </row>
    <row r="21" spans="1:7">
      <c r="G21" s="3">
        <f>IF(COUNTIF(Sheet2!C:C,C21)&gt;0,1,0)</f>
        <v>0</v>
      </c>
    </row>
    <row r="22" spans="1:7" ht="11.25" customHeight="1">
      <c r="A22" s="10" t="s">
        <v>11</v>
      </c>
      <c r="D22" s="10" t="s">
        <v>11</v>
      </c>
      <c r="G22" s="3">
        <f>IF(COUNTIF(Sheet2!C:C,C22)&gt;0,1,0)</f>
        <v>0</v>
      </c>
    </row>
    <row r="23" spans="1:7" ht="11.25" customHeight="1">
      <c r="G23" s="3">
        <f>IF(COUNTIF(Sheet2!C:C,C23)&gt;0,1,0)</f>
        <v>0</v>
      </c>
    </row>
    <row r="24" spans="1:7" ht="11.25" customHeight="1">
      <c r="A24" s="10" t="s">
        <v>9</v>
      </c>
      <c r="D24" s="10" t="s">
        <v>9</v>
      </c>
      <c r="G24" s="3">
        <f>IF(COUNTIF(Sheet2!C:C,C24)&gt;0,1,0)</f>
        <v>0</v>
      </c>
    </row>
    <row r="25" spans="1:7" ht="11.25" customHeight="1">
      <c r="A25" s="10"/>
      <c r="D25" s="10"/>
      <c r="G25" s="3">
        <f>IF(COUNTIF(Sheet2!C:C,C25)&gt;0,1,0)</f>
        <v>0</v>
      </c>
    </row>
    <row r="26" spans="1:7" ht="15.75">
      <c r="A26" s="10" t="s">
        <v>10</v>
      </c>
      <c r="D26" s="10" t="s">
        <v>10</v>
      </c>
      <c r="G26" s="3">
        <f>IF(COUNTIF(Sheet2!C:C,C26)&gt;0,1,0)</f>
        <v>0</v>
      </c>
    </row>
    <row r="27" spans="1:7">
      <c r="G27" s="3">
        <f>IF(COUNTIF(Sheet2!C:C,C27)&gt;0,1,0)</f>
        <v>0</v>
      </c>
    </row>
    <row r="28" spans="1:7">
      <c r="G28" s="3">
        <f>IF(COUNTIF(Sheet2!C:C,C28)&gt;0,1,0)</f>
        <v>0</v>
      </c>
    </row>
    <row r="29" spans="1:7" ht="15.75">
      <c r="A29" s="10" t="s">
        <v>12</v>
      </c>
      <c r="B29" s="11"/>
      <c r="C29" s="11"/>
      <c r="D29" s="10" t="s">
        <v>12</v>
      </c>
      <c r="E29" s="11"/>
      <c r="G29" s="3">
        <f>IF(COUNTIF(Sheet2!C:C,C29)&gt;0,1,0)</f>
        <v>0</v>
      </c>
    </row>
    <row r="30" spans="1:7">
      <c r="G30" s="3">
        <f>IF(COUNTIF(Sheet2!C:C,C30)&gt;0,1,0)</f>
        <v>0</v>
      </c>
    </row>
    <row r="31" spans="1:7">
      <c r="G31" s="3">
        <f>IF(COUNTIF(Sheet2!C:C,C31)&gt;0,1,0)</f>
        <v>0</v>
      </c>
    </row>
    <row r="32" spans="1:7">
      <c r="G32" s="3">
        <f>IF(COUNTIF(Sheet2!C:C,C32)&gt;0,1,0)</f>
        <v>0</v>
      </c>
    </row>
    <row r="33" spans="7:7" ht="11.25" customHeight="1">
      <c r="G33" s="3">
        <f>IF(COUNTIF(Sheet2!C:C,C33)&gt;0,1,0)</f>
        <v>0</v>
      </c>
    </row>
    <row r="34" spans="7:7" ht="11.25" customHeight="1">
      <c r="G34" s="3">
        <f>IF(COUNTIF(Sheet2!C:C,C34)&gt;0,1,0)</f>
        <v>0</v>
      </c>
    </row>
    <row r="35" spans="7:7" ht="11.25" customHeight="1">
      <c r="G35" s="3">
        <f>IF(COUNTIF(Sheet2!C:C,C35)&gt;0,1,0)</f>
        <v>0</v>
      </c>
    </row>
    <row r="36" spans="7:7" ht="11.25" customHeight="1">
      <c r="G36" s="3">
        <f>IF(COUNTIF(Sheet2!C:C,C36)&gt;0,1,0)</f>
        <v>0</v>
      </c>
    </row>
    <row r="37" spans="7:7" ht="11.25" customHeight="1">
      <c r="G37" s="3">
        <f>IF(COUNTIF(Sheet2!C:C,C37)&gt;0,1,0)</f>
        <v>0</v>
      </c>
    </row>
    <row r="38" spans="7:7" ht="11.25" customHeight="1">
      <c r="G38" s="3">
        <f>IF(COUNTIF(Sheet2!C:C,C38)&gt;0,1,0)</f>
        <v>0</v>
      </c>
    </row>
    <row r="39" spans="7:7" ht="11.25" customHeight="1">
      <c r="G39" s="3">
        <f>IF(COUNTIF(Sheet2!C:C,C39)&gt;0,1,0)</f>
        <v>0</v>
      </c>
    </row>
    <row r="40" spans="7:7">
      <c r="G40" s="3">
        <f>IF(COUNTIF(Sheet2!C:C,C40)&gt;0,1,0)</f>
        <v>0</v>
      </c>
    </row>
    <row r="41" spans="7:7">
      <c r="G41" s="3">
        <f>IF(COUNTIF(Sheet2!C:C,C41)&gt;0,1,0)</f>
        <v>0</v>
      </c>
    </row>
    <row r="42" spans="7:7" ht="11.25" customHeight="1">
      <c r="G42" s="3">
        <f>IF(COUNTIF(Sheet2!C:C,C42)&gt;0,1,0)</f>
        <v>0</v>
      </c>
    </row>
    <row r="43" spans="7:7" ht="11.25" customHeight="1">
      <c r="G43" s="3">
        <f>IF(COUNTIF(Sheet2!C:C,C43)&gt;0,1,0)</f>
        <v>0</v>
      </c>
    </row>
    <row r="44" spans="7:7" ht="11.25" customHeight="1">
      <c r="G44" s="3">
        <f>IF(COUNTIF(Sheet2!C:C,C44)&gt;0,1,0)</f>
        <v>0</v>
      </c>
    </row>
    <row r="45" spans="7:7" ht="11.25" customHeight="1">
      <c r="G45" s="3">
        <f>IF(COUNTIF(Sheet2!C:C,C45)&gt;0,1,0)</f>
        <v>0</v>
      </c>
    </row>
    <row r="46" spans="7:7">
      <c r="G46" s="3">
        <f>IF(COUNTIF(Sheet2!C:C,C46)&gt;0,1,0)</f>
        <v>0</v>
      </c>
    </row>
    <row r="47" spans="7:7">
      <c r="G47" s="3">
        <f>IF(COUNTIF(Sheet2!C:C,C47)&gt;0,1,0)</f>
        <v>0</v>
      </c>
    </row>
    <row r="48" spans="7:7">
      <c r="G48" s="3">
        <f>IF(COUNTIF(Sheet2!C:C,C48)&gt;0,1,0)</f>
        <v>0</v>
      </c>
    </row>
    <row r="49" spans="7:7">
      <c r="G49" s="3">
        <f>IF(COUNTIF(Sheet2!C:C,C49)&gt;0,1,0)</f>
        <v>0</v>
      </c>
    </row>
    <row r="50" spans="7:7">
      <c r="G50" s="3">
        <f>IF(COUNTIF(Sheet2!C:C,C50)&gt;0,1,0)</f>
        <v>0</v>
      </c>
    </row>
    <row r="51" spans="7:7">
      <c r="G51" s="3">
        <f>IF(COUNTIF(Sheet2!C:C,C51)&gt;0,1,0)</f>
        <v>0</v>
      </c>
    </row>
    <row r="52" spans="7:7" ht="11.25" customHeight="1">
      <c r="G52" s="3">
        <f>IF(COUNTIF(Sheet2!C:C,C52)&gt;0,1,0)</f>
        <v>0</v>
      </c>
    </row>
    <row r="53" spans="7:7">
      <c r="G53" s="3">
        <f>IF(COUNTIF(Sheet2!C:C,C53)&gt;0,1,0)</f>
        <v>0</v>
      </c>
    </row>
    <row r="54" spans="7:7" ht="11.25" customHeight="1">
      <c r="G54" s="3">
        <f>IF(COUNTIF(Sheet2!C:C,C54)&gt;0,1,0)</f>
        <v>0</v>
      </c>
    </row>
    <row r="55" spans="7:7">
      <c r="G55" s="3">
        <f>IF(COUNTIF(Sheet2!C:C,C55)&gt;0,1,0)</f>
        <v>0</v>
      </c>
    </row>
    <row r="56" spans="7:7" ht="11.25" customHeight="1">
      <c r="G56" s="3">
        <f>IF(COUNTIF(Sheet2!C:C,C56)&gt;0,1,0)</f>
        <v>0</v>
      </c>
    </row>
    <row r="57" spans="7:7" ht="11.25" customHeight="1">
      <c r="G57" s="3">
        <f>IF(COUNTIF(Sheet2!C:C,C57)&gt;0,1,0)</f>
        <v>0</v>
      </c>
    </row>
    <row r="58" spans="7:7" ht="11.25" customHeight="1">
      <c r="G58" s="3">
        <f>IF(COUNTIF(Sheet2!C:C,C58)&gt;0,1,0)</f>
        <v>0</v>
      </c>
    </row>
    <row r="59" spans="7:7" ht="11.25" customHeight="1">
      <c r="G59" s="3">
        <f>IF(COUNTIF(Sheet2!C:C,C59)&gt;0,1,0)</f>
        <v>0</v>
      </c>
    </row>
    <row r="60" spans="7:7" ht="11.25" customHeight="1">
      <c r="G60" s="3">
        <f>IF(COUNTIF(Sheet2!C:C,C60)&gt;0,1,0)</f>
        <v>0</v>
      </c>
    </row>
    <row r="61" spans="7:7" ht="11.25" customHeight="1">
      <c r="G61" s="3">
        <f>IF(COUNTIF(Sheet2!C:C,C61)&gt;0,1,0)</f>
        <v>0</v>
      </c>
    </row>
    <row r="62" spans="7:7" ht="11.25" customHeight="1">
      <c r="G62" s="3">
        <f>IF(COUNTIF(Sheet2!C:C,C62)&gt;0,1,0)</f>
        <v>0</v>
      </c>
    </row>
    <row r="63" spans="7:7" ht="11.25" customHeight="1">
      <c r="G63" s="3">
        <f>IF(COUNTIF(Sheet2!C:C,C63)&gt;0,1,0)</f>
        <v>0</v>
      </c>
    </row>
    <row r="64" spans="7:7">
      <c r="G64" s="3">
        <f>IF(COUNTIF(Sheet2!C:C,C64)&gt;0,1,0)</f>
        <v>0</v>
      </c>
    </row>
    <row r="65" spans="7:7">
      <c r="G65" s="3">
        <f>IF(COUNTIF(Sheet2!C:C,C65)&gt;0,1,0)</f>
        <v>0</v>
      </c>
    </row>
    <row r="66" spans="7:7">
      <c r="G66" s="3">
        <f>IF(COUNTIF(Sheet2!C:C,C66)&gt;0,1,0)</f>
        <v>0</v>
      </c>
    </row>
    <row r="67" spans="7:7">
      <c r="G67" s="3">
        <f>IF(COUNTIF(Sheet2!C:C,C67)&gt;0,1,0)</f>
        <v>0</v>
      </c>
    </row>
    <row r="68" spans="7:7">
      <c r="G68" s="3">
        <f>IF(COUNTIF(Sheet2!C:C,C68)&gt;0,1,0)</f>
        <v>0</v>
      </c>
    </row>
    <row r="69" spans="7:7">
      <c r="G69" s="3">
        <f>IF(COUNTIF(Sheet2!C:C,C69)&gt;0,1,0)</f>
        <v>0</v>
      </c>
    </row>
    <row r="70" spans="7:7">
      <c r="G70" s="3">
        <f>IF(COUNTIF(Sheet2!C:C,C70)&gt;0,1,0)</f>
        <v>0</v>
      </c>
    </row>
    <row r="71" spans="7:7" ht="11.25" customHeight="1">
      <c r="G71" s="3">
        <f>IF(COUNTIF(Sheet2!C:C,C71)&gt;0,1,0)</f>
        <v>0</v>
      </c>
    </row>
    <row r="72" spans="7:7" ht="11.25" customHeight="1">
      <c r="G72" s="3">
        <f>IF(COUNTIF(Sheet2!C:C,C72)&gt;0,1,0)</f>
        <v>0</v>
      </c>
    </row>
    <row r="73" spans="7:7" ht="11.25" customHeight="1">
      <c r="G73" s="3">
        <f>IF(COUNTIF(Sheet2!C:C,C73)&gt;0,1,0)</f>
        <v>0</v>
      </c>
    </row>
    <row r="74" spans="7:7" ht="11.25" customHeight="1">
      <c r="G74" s="3">
        <f>IF(COUNTIF(Sheet2!C:C,C74)&gt;0,1,0)</f>
        <v>0</v>
      </c>
    </row>
    <row r="75" spans="7:7" ht="11.25" customHeight="1">
      <c r="G75" s="3">
        <f>IF(COUNTIF(Sheet2!C:C,C75)&gt;0,1,0)</f>
        <v>0</v>
      </c>
    </row>
    <row r="76" spans="7:7" ht="11.25" customHeight="1">
      <c r="G76" s="3">
        <f>IF(COUNTIF(Sheet2!C:C,C76)&gt;0,1,0)</f>
        <v>0</v>
      </c>
    </row>
    <row r="77" spans="7:7" ht="11.25" customHeight="1">
      <c r="G77" s="3">
        <f>IF(COUNTIF(Sheet2!C:C,C77)&gt;0,1,0)</f>
        <v>0</v>
      </c>
    </row>
    <row r="78" spans="7:7" ht="11.25" customHeight="1">
      <c r="G78" s="3">
        <f>IF(COUNTIF(Sheet2!C:C,C78)&gt;0,1,0)</f>
        <v>0</v>
      </c>
    </row>
    <row r="79" spans="7:7" ht="11.25" customHeight="1">
      <c r="G79" s="3">
        <f>IF(COUNTIF(Sheet2!C:C,C79)&gt;0,1,0)</f>
        <v>0</v>
      </c>
    </row>
    <row r="80" spans="7:7">
      <c r="G80" s="3">
        <f>IF(COUNTIF(Sheet2!C:C,C80)&gt;0,1,0)</f>
        <v>0</v>
      </c>
    </row>
    <row r="81" spans="7:7">
      <c r="G81" s="3">
        <f>IF(COUNTIF(Sheet2!C:C,C81)&gt;0,1,0)</f>
        <v>0</v>
      </c>
    </row>
    <row r="82" spans="7:7" ht="11.25" customHeight="1">
      <c r="G82" s="3">
        <f>IF(COUNTIF(Sheet2!C:C,C82)&gt;0,1,0)</f>
        <v>0</v>
      </c>
    </row>
    <row r="83" spans="7:7" ht="11.25" customHeight="1">
      <c r="G83" s="3">
        <f>IF(COUNTIF(Sheet2!C:C,C83)&gt;0,1,0)</f>
        <v>0</v>
      </c>
    </row>
    <row r="84" spans="7:7" ht="11.25" customHeight="1">
      <c r="G84" s="3">
        <f>IF(COUNTIF(Sheet2!C:C,C84)&gt;0,1,0)</f>
        <v>0</v>
      </c>
    </row>
    <row r="85" spans="7:7" ht="11.25" customHeight="1">
      <c r="G85" s="3">
        <f>IF(COUNTIF(Sheet2!C:C,C85)&gt;0,1,0)</f>
        <v>0</v>
      </c>
    </row>
    <row r="86" spans="7:7">
      <c r="G86" s="3">
        <f>IF(COUNTIF(Sheet2!C:C,C86)&gt;0,1,0)</f>
        <v>0</v>
      </c>
    </row>
    <row r="87" spans="7:7">
      <c r="G87" s="3">
        <f>IF(COUNTIF(Sheet2!C:C,C87)&gt;0,1,0)</f>
        <v>0</v>
      </c>
    </row>
    <row r="88" spans="7:7">
      <c r="G88" s="3">
        <f>IF(COUNTIF(Sheet2!C:C,C88)&gt;0,1,0)</f>
        <v>0</v>
      </c>
    </row>
    <row r="89" spans="7:7">
      <c r="G89" s="3">
        <f>IF(COUNTIF(Sheet2!C:C,C89)&gt;0,1,0)</f>
        <v>0</v>
      </c>
    </row>
    <row r="90" spans="7:7">
      <c r="G90" s="3">
        <f>IF(COUNTIF(Sheet2!C:C,C90)&gt;0,1,0)</f>
        <v>0</v>
      </c>
    </row>
    <row r="91" spans="7:7">
      <c r="G91" s="3">
        <f>IF(COUNTIF(Sheet2!C:C,C91)&gt;0,1,0)</f>
        <v>0</v>
      </c>
    </row>
    <row r="92" spans="7:7" ht="11.25" customHeight="1">
      <c r="G92" s="3">
        <f>IF(COUNTIF(Sheet2!C:C,C92)&gt;0,1,0)</f>
        <v>0</v>
      </c>
    </row>
    <row r="93" spans="7:7" ht="11.25" customHeight="1">
      <c r="G93" s="3">
        <f>IF(COUNTIF(Sheet2!C:C,C93)&gt;0,1,0)</f>
        <v>0</v>
      </c>
    </row>
    <row r="94" spans="7:7" ht="11.25" customHeight="1">
      <c r="G94" s="3">
        <f>IF(COUNTIF(Sheet2!C:C,C94)&gt;0,1,0)</f>
        <v>0</v>
      </c>
    </row>
    <row r="95" spans="7:7" ht="11.25" customHeight="1">
      <c r="G95" s="3">
        <f>IF(COUNTIF(Sheet2!C:C,C95)&gt;0,1,0)</f>
        <v>0</v>
      </c>
    </row>
    <row r="96" spans="7:7">
      <c r="G96" s="3">
        <f>IF(COUNTIF(Sheet2!C:C,C96)&gt;0,1,0)</f>
        <v>0</v>
      </c>
    </row>
    <row r="97" spans="7:7">
      <c r="G97" s="3">
        <f>IF(COUNTIF(Sheet2!C:C,C97)&gt;0,1,0)</f>
        <v>0</v>
      </c>
    </row>
    <row r="98" spans="7:7">
      <c r="G98" s="3">
        <f>IF(COUNTIF(Sheet2!C:C,C98)&gt;0,1,0)</f>
        <v>0</v>
      </c>
    </row>
    <row r="99" spans="7:7">
      <c r="G99" s="3">
        <f>IF(COUNTIF(Sheet2!C:C,C99)&gt;0,1,0)</f>
        <v>0</v>
      </c>
    </row>
    <row r="100" spans="7:7">
      <c r="G100" s="3">
        <f>IF(COUNTIF(Sheet2!C:C,C100)&gt;0,1,0)</f>
        <v>0</v>
      </c>
    </row>
    <row r="101" spans="7:7">
      <c r="G101" s="3">
        <f>IF(COUNTIF(Sheet2!C:C,C101)&gt;0,1,0)</f>
        <v>0</v>
      </c>
    </row>
    <row r="102" spans="7:7" ht="11.25" customHeight="1">
      <c r="G102" s="3">
        <f>IF(COUNTIF(Sheet2!C:C,C102)&gt;0,1,0)</f>
        <v>0</v>
      </c>
    </row>
    <row r="103" spans="7:7">
      <c r="G103" s="3">
        <f>IF(COUNTIF(Sheet2!C:C,C103)&gt;0,1,0)</f>
        <v>0</v>
      </c>
    </row>
    <row r="104" spans="7:7" ht="11.25" customHeight="1">
      <c r="G104" s="3">
        <f>IF(COUNTIF(Sheet2!C:C,C104)&gt;0,1,0)</f>
        <v>0</v>
      </c>
    </row>
    <row r="105" spans="7:7">
      <c r="G105" s="3">
        <f>IF(COUNTIF(Sheet2!C:C,C105)&gt;0,1,0)</f>
        <v>0</v>
      </c>
    </row>
    <row r="106" spans="7:7" ht="11.25" customHeight="1">
      <c r="G106" s="3">
        <f>IF(COUNTIF(Sheet2!C:C,C106)&gt;0,1,0)</f>
        <v>0</v>
      </c>
    </row>
    <row r="107" spans="7:7" ht="11.25" customHeight="1">
      <c r="G107" s="3">
        <f>IF(COUNTIF(Sheet2!C:C,C107)&gt;0,1,0)</f>
        <v>0</v>
      </c>
    </row>
    <row r="108" spans="7:7" ht="11.25" customHeight="1">
      <c r="G108" s="3">
        <f>IF(COUNTIF(Sheet2!C:C,C108)&gt;0,1,0)</f>
        <v>0</v>
      </c>
    </row>
    <row r="109" spans="7:7" ht="11.25" customHeight="1">
      <c r="G109" s="3">
        <f>IF(COUNTIF(Sheet2!C:C,C109)&gt;0,1,0)</f>
        <v>0</v>
      </c>
    </row>
    <row r="110" spans="7:7" ht="11.25" customHeight="1">
      <c r="G110" s="3">
        <f>IF(COUNTIF(Sheet2!C:C,C110)&gt;0,1,0)</f>
        <v>0</v>
      </c>
    </row>
    <row r="111" spans="7:7" ht="11.25" customHeight="1">
      <c r="G111" s="3">
        <f>IF(COUNTIF(Sheet2!C:C,C111)&gt;0,1,0)</f>
        <v>0</v>
      </c>
    </row>
    <row r="112" spans="7:7" ht="11.25" customHeight="1">
      <c r="G112" s="3">
        <f>IF(COUNTIF(Sheet2!C:C,C112)&gt;0,1,0)</f>
        <v>0</v>
      </c>
    </row>
    <row r="113" spans="7:7" ht="11.25" customHeight="1">
      <c r="G113" s="3">
        <f>IF(COUNTIF(Sheet2!C:C,C113)&gt;0,1,0)</f>
        <v>0</v>
      </c>
    </row>
    <row r="114" spans="7:7" ht="11.25" customHeight="1">
      <c r="G114" s="3">
        <f>IF(COUNTIF(Sheet2!C:C,C114)&gt;0,1,0)</f>
        <v>0</v>
      </c>
    </row>
    <row r="115" spans="7:7" ht="11.25" customHeight="1">
      <c r="G115" s="3">
        <f>IF(COUNTIF(Sheet2!C:C,C115)&gt;0,1,0)</f>
        <v>0</v>
      </c>
    </row>
    <row r="116" spans="7:7">
      <c r="G116" s="3">
        <f>IF(COUNTIF(Sheet2!C:C,C116)&gt;0,1,0)</f>
        <v>0</v>
      </c>
    </row>
    <row r="117" spans="7:7">
      <c r="G117" s="3">
        <f>IF(COUNTIF(Sheet2!C:C,C117)&gt;0,1,0)</f>
        <v>0</v>
      </c>
    </row>
    <row r="118" spans="7:7">
      <c r="G118" s="3">
        <f>IF(COUNTIF(Sheet2!C:C,C118)&gt;0,1,0)</f>
        <v>0</v>
      </c>
    </row>
    <row r="119" spans="7:7">
      <c r="G119" s="3">
        <f>IF(COUNTIF(Sheet2!C:C,C119)&gt;0,1,0)</f>
        <v>0</v>
      </c>
    </row>
    <row r="120" spans="7:7">
      <c r="G120" s="3">
        <f>IF(COUNTIF(Sheet2!C:C,C120)&gt;0,1,0)</f>
        <v>0</v>
      </c>
    </row>
    <row r="121" spans="7:7">
      <c r="G121" s="3">
        <f>IF(COUNTIF(Sheet2!C:C,C121)&gt;0,1,0)</f>
        <v>0</v>
      </c>
    </row>
    <row r="122" spans="7:7">
      <c r="G122" s="3">
        <f>IF(COUNTIF(Sheet2!C:C,C122)&gt;0,1,0)</f>
        <v>0</v>
      </c>
    </row>
    <row r="123" spans="7:7">
      <c r="G123" s="3">
        <f>IF(COUNTIF(Sheet2!C:C,C123)&gt;0,1,0)</f>
        <v>0</v>
      </c>
    </row>
    <row r="124" spans="7:7">
      <c r="G124" s="3">
        <f>IF(COUNTIF(Sheet2!C:C,C124)&gt;0,1,0)</f>
        <v>0</v>
      </c>
    </row>
    <row r="125" spans="7:7">
      <c r="G125" s="3">
        <f>IF(COUNTIF(Sheet2!C:C,C125)&gt;0,1,0)</f>
        <v>0</v>
      </c>
    </row>
    <row r="126" spans="7:7">
      <c r="G126" s="3">
        <f>IF(COUNTIF(Sheet2!C:C,C126)&gt;0,1,0)</f>
        <v>0</v>
      </c>
    </row>
    <row r="127" spans="7:7">
      <c r="G127" s="3">
        <f>IF(COUNTIF(Sheet2!C:C,C127)&gt;0,1,0)</f>
        <v>0</v>
      </c>
    </row>
    <row r="128" spans="7:7">
      <c r="G128" s="3">
        <f>IF(COUNTIF(Sheet2!C:C,C128)&gt;0,1,0)</f>
        <v>0</v>
      </c>
    </row>
    <row r="129" spans="7:7">
      <c r="G129" s="3">
        <f>IF(COUNTIF(Sheet2!C:C,C129)&gt;0,1,0)</f>
        <v>0</v>
      </c>
    </row>
    <row r="130" spans="7:7">
      <c r="G130" s="3">
        <f>IF(COUNTIF(Sheet2!C:C,C130)&gt;0,1,0)</f>
        <v>0</v>
      </c>
    </row>
    <row r="131" spans="7:7">
      <c r="G131" s="3">
        <f>IF(COUNTIF(Sheet2!C:C,C131)&gt;0,1,0)</f>
        <v>0</v>
      </c>
    </row>
    <row r="132" spans="7:7">
      <c r="G132" s="3">
        <f>IF(COUNTIF(Sheet2!C:C,C132)&gt;0,1,0)</f>
        <v>0</v>
      </c>
    </row>
    <row r="133" spans="7:7">
      <c r="G133" s="3">
        <f>IF(COUNTIF(Sheet2!C:C,C133)&gt;0,1,0)</f>
        <v>0</v>
      </c>
    </row>
    <row r="134" spans="7:7">
      <c r="G134" s="3">
        <f>IF(COUNTIF(Sheet2!C:C,C134)&gt;0,1,0)</f>
        <v>0</v>
      </c>
    </row>
    <row r="135" spans="7:7">
      <c r="G135" s="3">
        <f>IF(COUNTIF(Sheet2!C:C,C135)&gt;0,1,0)</f>
        <v>0</v>
      </c>
    </row>
    <row r="136" spans="7:7">
      <c r="G136" s="3">
        <f>IF(COUNTIF(Sheet2!C:C,C136)&gt;0,1,0)</f>
        <v>0</v>
      </c>
    </row>
    <row r="137" spans="7:7">
      <c r="G137" s="3">
        <f>IF(COUNTIF(Sheet2!C:C,C137)&gt;0,1,0)</f>
        <v>0</v>
      </c>
    </row>
    <row r="138" spans="7:7">
      <c r="G138" s="3">
        <f>IF(COUNTIF(Sheet2!C:C,C138)&gt;0,1,0)</f>
        <v>0</v>
      </c>
    </row>
    <row r="139" spans="7:7">
      <c r="G139" s="3">
        <f>IF(COUNTIF(Sheet2!C:C,C139)&gt;0,1,0)</f>
        <v>0</v>
      </c>
    </row>
    <row r="140" spans="7:7">
      <c r="G140" s="3">
        <f>IF(COUNTIF(Sheet2!C:C,C140)&gt;0,1,0)</f>
        <v>0</v>
      </c>
    </row>
    <row r="141" spans="7:7">
      <c r="G141" s="3">
        <f>IF(COUNTIF(Sheet2!C:C,C141)&gt;0,1,0)</f>
        <v>0</v>
      </c>
    </row>
    <row r="142" spans="7:7">
      <c r="G142" s="3">
        <f>IF(COUNTIF(Sheet2!C:C,C142)&gt;0,1,0)</f>
        <v>0</v>
      </c>
    </row>
    <row r="143" spans="7:7">
      <c r="G143" s="3">
        <f>IF(COUNTIF(Sheet2!C:C,C143)&gt;0,1,0)</f>
        <v>0</v>
      </c>
    </row>
    <row r="144" spans="7:7">
      <c r="G144" s="3">
        <f>IF(COUNTIF(Sheet2!C:C,C144)&gt;0,1,0)</f>
        <v>0</v>
      </c>
    </row>
    <row r="145" spans="7:7">
      <c r="G145" s="3">
        <f>IF(COUNTIF(Sheet2!C:C,C145)&gt;0,1,0)</f>
        <v>0</v>
      </c>
    </row>
    <row r="146" spans="7:7">
      <c r="G146" s="3">
        <f>IF(COUNTIF(Sheet2!C:C,C146)&gt;0,1,0)</f>
        <v>0</v>
      </c>
    </row>
    <row r="147" spans="7:7">
      <c r="G147" s="3">
        <f>IF(COUNTIF(Sheet2!C:C,C147)&gt;0,1,0)</f>
        <v>0</v>
      </c>
    </row>
    <row r="148" spans="7:7">
      <c r="G148" s="3">
        <f>IF(COUNTIF(Sheet2!C:C,C148)&gt;0,1,0)</f>
        <v>0</v>
      </c>
    </row>
    <row r="149" spans="7:7">
      <c r="G149" s="3">
        <f>IF(COUNTIF(Sheet2!C:C,C149)&gt;0,1,0)</f>
        <v>0</v>
      </c>
    </row>
    <row r="150" spans="7:7">
      <c r="G150" s="3">
        <f>IF(COUNTIF(Sheet2!C:C,C150)&gt;0,1,0)</f>
        <v>0</v>
      </c>
    </row>
    <row r="151" spans="7:7">
      <c r="G151" s="3">
        <f>IF(COUNTIF(Sheet2!C:C,C151)&gt;0,1,0)</f>
        <v>0</v>
      </c>
    </row>
    <row r="152" spans="7:7">
      <c r="G152" s="3">
        <f>IF(COUNTIF(Sheet2!C:C,C152)&gt;0,1,0)</f>
        <v>0</v>
      </c>
    </row>
    <row r="153" spans="7:7">
      <c r="G153" s="3">
        <f>IF(COUNTIF(Sheet2!C:C,C153)&gt;0,1,0)</f>
        <v>0</v>
      </c>
    </row>
    <row r="154" spans="7:7">
      <c r="G154" s="3">
        <f>IF(COUNTIF(Sheet2!C:C,C154)&gt;0,1,0)</f>
        <v>0</v>
      </c>
    </row>
    <row r="155" spans="7:7">
      <c r="G155" s="3">
        <f>IF(COUNTIF(Sheet2!C:C,C155)&gt;0,1,0)</f>
        <v>0</v>
      </c>
    </row>
    <row r="156" spans="7:7">
      <c r="G156" s="3">
        <f>IF(COUNTIF(Sheet2!C:C,C156)&gt;0,1,0)</f>
        <v>0</v>
      </c>
    </row>
    <row r="157" spans="7:7">
      <c r="G157" s="3">
        <f>IF(COUNTIF(Sheet2!C:C,C157)&gt;0,1,0)</f>
        <v>0</v>
      </c>
    </row>
    <row r="158" spans="7:7">
      <c r="G158" s="3">
        <f>IF(COUNTIF(Sheet2!C:C,C158)&gt;0,1,0)</f>
        <v>0</v>
      </c>
    </row>
    <row r="159" spans="7:7">
      <c r="G159" s="3">
        <f>IF(COUNTIF(Sheet2!C:C,C159)&gt;0,1,0)</f>
        <v>0</v>
      </c>
    </row>
    <row r="160" spans="7:7">
      <c r="G160" s="3">
        <f>IF(COUNTIF(Sheet2!C:C,C160)&gt;0,1,0)</f>
        <v>0</v>
      </c>
    </row>
    <row r="161" spans="7:7">
      <c r="G161" s="3">
        <f>IF(COUNTIF(Sheet2!C:C,C161)&gt;0,1,0)</f>
        <v>0</v>
      </c>
    </row>
    <row r="162" spans="7:7">
      <c r="G162" s="3">
        <f>IF(COUNTIF(Sheet2!C:C,C162)&gt;0,1,0)</f>
        <v>0</v>
      </c>
    </row>
    <row r="163" spans="7:7">
      <c r="G163" s="3">
        <f>IF(COUNTIF(Sheet2!C:C,C163)&gt;0,1,0)</f>
        <v>0</v>
      </c>
    </row>
    <row r="164" spans="7:7" ht="12" customHeight="1">
      <c r="G164" s="3">
        <f>IF(COUNTIF(Sheet2!C:C,C164)&gt;0,1,0)</f>
        <v>0</v>
      </c>
    </row>
    <row r="165" spans="7:7">
      <c r="G165" s="3">
        <f>IF(COUNTIF(Sheet2!C:C,C165)&gt;0,1,0)</f>
        <v>0</v>
      </c>
    </row>
    <row r="166" spans="7:7">
      <c r="G166" s="3">
        <f>IF(COUNTIF(Sheet2!C:C,C166)&gt;0,1,0)</f>
        <v>0</v>
      </c>
    </row>
    <row r="167" spans="7:7">
      <c r="G167" s="3">
        <f>IF(COUNTIF(Sheet2!C:C,C167)&gt;0,1,0)</f>
        <v>0</v>
      </c>
    </row>
    <row r="168" spans="7:7">
      <c r="G168" s="3">
        <f>IF(COUNTIF(Sheet2!C:C,C168)&gt;0,1,0)</f>
        <v>0</v>
      </c>
    </row>
    <row r="169" spans="7:7">
      <c r="G169" s="3">
        <f>IF(COUNTIF(Sheet2!C:C,C169)&gt;0,1,0)</f>
        <v>0</v>
      </c>
    </row>
    <row r="170" spans="7:7">
      <c r="G170" s="3">
        <f>IF(COUNTIF(Sheet2!C:C,C170)&gt;0,1,0)</f>
        <v>0</v>
      </c>
    </row>
    <row r="171" spans="7:7">
      <c r="G171" s="3">
        <f>IF(COUNTIF(Sheet2!C:C,C171)&gt;0,1,0)</f>
        <v>0</v>
      </c>
    </row>
    <row r="172" spans="7:7">
      <c r="G172" s="3">
        <f>IF(COUNTIF(Sheet2!C:C,C172)&gt;0,1,0)</f>
        <v>0</v>
      </c>
    </row>
    <row r="173" spans="7:7">
      <c r="G173" s="3">
        <f>IF(COUNTIF(Sheet2!C:C,C173)&gt;0,1,0)</f>
        <v>0</v>
      </c>
    </row>
    <row r="174" spans="7:7">
      <c r="G174" s="3">
        <f>IF(COUNTIF(Sheet2!C:C,C174)&gt;0,1,0)</f>
        <v>0</v>
      </c>
    </row>
    <row r="175" spans="7:7" ht="15" customHeight="1">
      <c r="G175" s="3">
        <f>IF(COUNTIF(Sheet2!C:C,C175)&gt;0,1,0)</f>
        <v>0</v>
      </c>
    </row>
    <row r="176" spans="7:7" ht="15" customHeight="1">
      <c r="G176" s="3">
        <f>IF(COUNTIF(Sheet2!C:C,C176)&gt;0,1,0)</f>
        <v>0</v>
      </c>
    </row>
    <row r="177" spans="7:7" ht="15" customHeight="1">
      <c r="G177" s="3">
        <f>IF(COUNTIF(Sheet2!C:C,C177)&gt;0,1,0)</f>
        <v>0</v>
      </c>
    </row>
    <row r="178" spans="7:7" ht="15" customHeight="1">
      <c r="G178" s="3">
        <f>IF(COUNTIF(Sheet2!C:C,C178)&gt;0,1,0)</f>
        <v>0</v>
      </c>
    </row>
    <row r="179" spans="7:7" ht="15" customHeight="1">
      <c r="G179" s="3">
        <f>IF(COUNTIF(Sheet2!C:C,C179)&gt;0,1,0)</f>
        <v>0</v>
      </c>
    </row>
    <row r="180" spans="7:7" ht="15" customHeight="1">
      <c r="G180" s="3">
        <f>IF(COUNTIF(Sheet2!C:C,C180)&gt;0,1,0)</f>
        <v>0</v>
      </c>
    </row>
    <row r="181" spans="7:7" ht="15" customHeight="1">
      <c r="G181" s="3">
        <f>IF(COUNTIF(Sheet2!C:C,C181)&gt;0,1,0)</f>
        <v>0</v>
      </c>
    </row>
    <row r="182" spans="7:7" ht="15" customHeight="1">
      <c r="G182" s="3">
        <f>IF(COUNTIF(Sheet2!C:C,C182)&gt;0,1,0)</f>
        <v>0</v>
      </c>
    </row>
  </sheetData>
  <mergeCells count="4">
    <mergeCell ref="D7:D9"/>
    <mergeCell ref="E7:E9"/>
    <mergeCell ref="A4:C9"/>
    <mergeCell ref="B11:C11"/>
  </mergeCells>
  <phoneticPr fontId="1" type="noConversion"/>
  <pageMargins left="0.23622047244094491" right="0.23622047244094491" top="0.74803149606299213" bottom="1.5748031496062993" header="0.31496062992125984" footer="7.874015748031496E-2"/>
  <pageSetup paperSize="9" scale="99" orientation="portrait" r:id="rId1"/>
  <headerFooter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E03B-0B67-40F1-B9FB-22C9148B1EEA}">
  <dimension ref="A1:W13"/>
  <sheetViews>
    <sheetView workbookViewId="0">
      <selection activeCell="C2" sqref="C2"/>
    </sheetView>
  </sheetViews>
  <sheetFormatPr defaultColWidth="9" defaultRowHeight="11.25"/>
  <cols>
    <col min="1" max="1" width="39.33203125" bestFit="1" customWidth="1"/>
    <col min="2" max="2" width="27.5" bestFit="1" customWidth="1"/>
    <col min="3" max="3" width="32.6640625" bestFit="1" customWidth="1"/>
  </cols>
  <sheetData>
    <row r="1" spans="1:23" ht="15">
      <c r="A1" s="17" t="s">
        <v>29</v>
      </c>
      <c r="B1" s="17" t="s">
        <v>30</v>
      </c>
      <c r="C1" s="17" t="s">
        <v>31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4.25">
      <c r="A2" s="18" t="s">
        <v>18</v>
      </c>
      <c r="B2" s="18" t="s">
        <v>32</v>
      </c>
      <c r="C2" s="18" t="s">
        <v>17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4.25">
      <c r="A3" s="18" t="s">
        <v>22</v>
      </c>
      <c r="B3" s="18" t="s">
        <v>33</v>
      </c>
      <c r="C3" s="18" t="s">
        <v>21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4.25">
      <c r="A4" s="18" t="s">
        <v>34</v>
      </c>
      <c r="B4" s="18" t="s">
        <v>35</v>
      </c>
      <c r="C4" s="18" t="s">
        <v>36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4.25">
      <c r="A5" s="18" t="s">
        <v>37</v>
      </c>
      <c r="B5" s="18" t="s">
        <v>38</v>
      </c>
      <c r="C5" s="18" t="s">
        <v>39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4.25">
      <c r="A6" s="18" t="s">
        <v>20</v>
      </c>
      <c r="B6" s="18" t="s">
        <v>40</v>
      </c>
      <c r="C6" s="18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4.25">
      <c r="A7" s="18" t="s">
        <v>24</v>
      </c>
      <c r="B7" s="18" t="s">
        <v>41</v>
      </c>
      <c r="C7" s="18" t="s">
        <v>23</v>
      </c>
    </row>
    <row r="8" spans="1:23" ht="14.25">
      <c r="A8" s="18" t="s">
        <v>26</v>
      </c>
      <c r="B8" s="18" t="s">
        <v>42</v>
      </c>
      <c r="C8" s="18" t="s">
        <v>25</v>
      </c>
    </row>
    <row r="9" spans="1:23" ht="14.25">
      <c r="A9" s="18" t="s">
        <v>28</v>
      </c>
      <c r="B9" s="18" t="s">
        <v>43</v>
      </c>
      <c r="C9" s="18" t="s">
        <v>27</v>
      </c>
    </row>
    <row r="10" spans="1:23" ht="14.25">
      <c r="A10" s="18" t="s">
        <v>44</v>
      </c>
      <c r="B10" s="18" t="s">
        <v>45</v>
      </c>
      <c r="C10" s="18" t="s">
        <v>46</v>
      </c>
    </row>
    <row r="11" spans="1:23" ht="14.25">
      <c r="A11" s="18" t="s">
        <v>47</v>
      </c>
      <c r="B11" s="18" t="s">
        <v>48</v>
      </c>
      <c r="C11" s="18" t="s">
        <v>49</v>
      </c>
    </row>
    <row r="12" spans="1:23" ht="14.25">
      <c r="A12" s="18" t="s">
        <v>50</v>
      </c>
      <c r="B12" s="18" t="s">
        <v>51</v>
      </c>
      <c r="C12" s="18" t="s">
        <v>52</v>
      </c>
    </row>
    <row r="13" spans="1:23" ht="14.25">
      <c r="A13" s="18" t="s">
        <v>53</v>
      </c>
      <c r="B13" s="18" t="s">
        <v>54</v>
      </c>
      <c r="C13" s="18" t="s">
        <v>55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FRAACC</dc:creator>
  <cp:lastModifiedBy>FRAJUNG</cp:lastModifiedBy>
  <cp:lastPrinted>2026-06-10T13:45:52Z</cp:lastPrinted>
  <dcterms:created xsi:type="dcterms:W3CDTF">2025-04-10T13:50:54Z</dcterms:created>
  <dcterms:modified xsi:type="dcterms:W3CDTF">2026-06-12T11:26:18Z</dcterms:modified>
</cp:coreProperties>
</file>